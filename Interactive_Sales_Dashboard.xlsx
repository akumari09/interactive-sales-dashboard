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xr:revisionPtr revIDLastSave="0" documentId="8_{B49E40DE-5B6A-4AEC-8FD3-B714D9D7BD8F}" xr6:coauthVersionLast="47" xr6:coauthVersionMax="47" xr10:uidLastSave="{00000000-0000-0000-0000-000000000000}"/>
  <bookViews>
    <workbookView xWindow="240" yWindow="105" windowWidth="14805" windowHeight="8010" firstSheet="4" activeTab="5" xr2:uid="{00000000-000D-0000-FFFF-FFFF00000000}"/>
  </bookViews>
  <sheets>
    <sheet name="Raw Data" sheetId="3" r:id="rId1"/>
    <sheet name="Sheet1" sheetId="2" r:id="rId2"/>
    <sheet name="Sheet2" sheetId="4" r:id="rId3"/>
    <sheet name="Sheet3" sheetId="5" r:id="rId4"/>
    <sheet name="Sheet4" sheetId="7" r:id="rId5"/>
    <sheet name="Sheet5" sheetId="8" r:id="rId6"/>
    <sheet name="Dashboard" sheetId="10" r:id="rId7"/>
  </sheets>
  <definedNames>
    <definedName name="Slicer_Category">#N/A</definedName>
    <definedName name="Slicer_Month">#N/A</definedName>
    <definedName name="Slicer_Region">#N/A</definedName>
  </definedNames>
  <calcPr calcId="191028"/>
  <pivotCaches>
    <pivotCache cacheId="135" r:id="rId8"/>
    <pivotCache cacheId="136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B3" i="10"/>
  <c r="I22" i="3"/>
  <c r="H2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</calcChain>
</file>

<file path=xl/sharedStrings.xml><?xml version="1.0" encoding="utf-8"?>
<sst xmlns="http://schemas.openxmlformats.org/spreadsheetml/2006/main" count="170" uniqueCount="66">
  <si>
    <t>Order_ID</t>
  </si>
  <si>
    <t>Date</t>
  </si>
  <si>
    <t>Month</t>
  </si>
  <si>
    <t>Region</t>
  </si>
  <si>
    <t>Sales_Executive</t>
  </si>
  <si>
    <t>Product</t>
  </si>
  <si>
    <t>Category</t>
  </si>
  <si>
    <t>Sales</t>
  </si>
  <si>
    <t>Profit</t>
  </si>
  <si>
    <t>28/05/2024</t>
  </si>
  <si>
    <t>South</t>
  </si>
  <si>
    <t>Neha</t>
  </si>
  <si>
    <t>Chair</t>
  </si>
  <si>
    <t>Furniture</t>
  </si>
  <si>
    <t>20/05/2024</t>
  </si>
  <si>
    <t>North</t>
  </si>
  <si>
    <t>Aman</t>
  </si>
  <si>
    <t>Table</t>
  </si>
  <si>
    <t>15/05/2024</t>
  </si>
  <si>
    <t>West</t>
  </si>
  <si>
    <t>Priya</t>
  </si>
  <si>
    <t>Phone</t>
  </si>
  <si>
    <t>Electronics</t>
  </si>
  <si>
    <t>East</t>
  </si>
  <si>
    <t>Rahul</t>
  </si>
  <si>
    <t>Laptop</t>
  </si>
  <si>
    <t>25/04/2024</t>
  </si>
  <si>
    <t>18/04/2024</t>
  </si>
  <si>
    <t>25/03/2024</t>
  </si>
  <si>
    <t>18/03/2024</t>
  </si>
  <si>
    <t>28/02/2024</t>
  </si>
  <si>
    <t>25/02/2024</t>
  </si>
  <si>
    <t>20/02/2024</t>
  </si>
  <si>
    <t>15/02/2024</t>
  </si>
  <si>
    <t>30/01/2024</t>
  </si>
  <si>
    <t>25/01/2024</t>
  </si>
  <si>
    <t>18/01/2024</t>
  </si>
  <si>
    <t>Sum of Sales</t>
  </si>
  <si>
    <t>Sum of Profit</t>
  </si>
  <si>
    <t>Grand Total</t>
  </si>
  <si>
    <t>Count of Order_ID</t>
  </si>
  <si>
    <t>January</t>
  </si>
  <si>
    <t>February</t>
  </si>
  <si>
    <t>March</t>
  </si>
  <si>
    <t>April</t>
  </si>
  <si>
    <t>May</t>
  </si>
  <si>
    <t>October</t>
  </si>
  <si>
    <t>December</t>
  </si>
  <si>
    <t>15-02-2024</t>
  </si>
  <si>
    <t>15-05-2024</t>
  </si>
  <si>
    <t>18-01-2024</t>
  </si>
  <si>
    <t>18-03-2024</t>
  </si>
  <si>
    <t>18-04-2024</t>
  </si>
  <si>
    <t>20-02-2024</t>
  </si>
  <si>
    <t>20-05-2024</t>
  </si>
  <si>
    <t>25-01-2024</t>
  </si>
  <si>
    <t>25-02-2024</t>
  </si>
  <si>
    <t>25-03-2024</t>
  </si>
  <si>
    <t>25-04-2024</t>
  </si>
  <si>
    <t>28-02-2024</t>
  </si>
  <si>
    <t>28-05-2024</t>
  </si>
  <si>
    <t>30-01-2024</t>
  </si>
  <si>
    <t>SALES PERFORMANCE DASHBOARD</t>
  </si>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</sst>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292000</c:v>
                </c:pt>
                <c:pt idx="1">
                  <c:v>62700</c:v>
                </c:pt>
                <c:pt idx="2">
                  <c:v>72000</c:v>
                </c:pt>
                <c:pt idx="3">
                  <c:v>255000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E-4BA1-9666-CC97C27E7AC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43800</c:v>
                </c:pt>
                <c:pt idx="1">
                  <c:v>9405</c:v>
                </c:pt>
                <c:pt idx="2">
                  <c:v>10800</c:v>
                </c:pt>
                <c:pt idx="3">
                  <c:v>38250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E-4BA1-9666-CC97C27E7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06280"/>
        <c:axId val="1706808328"/>
      </c:barChart>
      <c:catAx>
        <c:axId val="170680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08328"/>
        <c:crosses val="autoZero"/>
        <c:auto val="1"/>
        <c:lblAlgn val="ctr"/>
        <c:lblOffset val="100"/>
        <c:noMultiLvlLbl val="0"/>
      </c:catAx>
      <c:valAx>
        <c:axId val="170680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0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57000</c:v>
                </c:pt>
                <c:pt idx="1">
                  <c:v>108500</c:v>
                </c:pt>
                <c:pt idx="2">
                  <c:v>22000</c:v>
                </c:pt>
                <c:pt idx="3">
                  <c:v>24200</c:v>
                </c:pt>
                <c:pt idx="4">
                  <c:v>212000</c:v>
                </c:pt>
                <c:pt idx="5">
                  <c:v>58000</c:v>
                </c:pt>
                <c:pt idx="6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11-A769-62829BA7E99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11-A769-62829BA7E99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Sheet2!$D$4:$D$11</c:f>
              <c:numCache>
                <c:formatCode>General</c:formatCode>
                <c:ptCount val="7"/>
                <c:pt idx="0">
                  <c:v>8550</c:v>
                </c:pt>
                <c:pt idx="1">
                  <c:v>16275</c:v>
                </c:pt>
                <c:pt idx="2">
                  <c:v>3300</c:v>
                </c:pt>
                <c:pt idx="3">
                  <c:v>3630</c:v>
                </c:pt>
                <c:pt idx="4">
                  <c:v>31800</c:v>
                </c:pt>
                <c:pt idx="5">
                  <c:v>8700</c:v>
                </c:pt>
                <c:pt idx="6">
                  <c:v>14550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B-41D4-B35A-57ED8D4E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252232"/>
        <c:axId val="664559112"/>
      </c:barChart>
      <c:catAx>
        <c:axId val="62725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59112"/>
        <c:crosses val="autoZero"/>
        <c:auto val="1"/>
        <c:lblAlgn val="ctr"/>
        <c:lblOffset val="100"/>
        <c:noMultiLvlLbl val="0"/>
      </c:catAx>
      <c:valAx>
        <c:axId val="66455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 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Sheet3!$A$4:$A$28</c:f>
              <c:strCache>
                <c:ptCount val="24"/>
                <c:pt idx="0">
                  <c:v>15-02-2024</c:v>
                </c:pt>
                <c:pt idx="1">
                  <c:v>15-05-2024</c:v>
                </c:pt>
                <c:pt idx="2">
                  <c:v>18-01-2024</c:v>
                </c:pt>
                <c:pt idx="3">
                  <c:v>18-03-2024</c:v>
                </c:pt>
                <c:pt idx="4">
                  <c:v>18-04-2024</c:v>
                </c:pt>
                <c:pt idx="5">
                  <c:v>20-02-2024</c:v>
                </c:pt>
                <c:pt idx="6">
                  <c:v>20-05-2024</c:v>
                </c:pt>
                <c:pt idx="7">
                  <c:v>25-01-2024</c:v>
                </c:pt>
                <c:pt idx="8">
                  <c:v>25-02-2024</c:v>
                </c:pt>
                <c:pt idx="9">
                  <c:v>25-03-2024</c:v>
                </c:pt>
                <c:pt idx="10">
                  <c:v>25-04-2024</c:v>
                </c:pt>
                <c:pt idx="11">
                  <c:v>28-02-2024</c:v>
                </c:pt>
                <c:pt idx="12">
                  <c:v>28-05-2024</c:v>
                </c:pt>
                <c:pt idx="13">
                  <c:v>30-01-2024</c:v>
                </c:pt>
                <c:pt idx="14">
                  <c:v>4/2/2024</c:v>
                </c:pt>
                <c:pt idx="15">
                  <c:v>5/1/2024</c:v>
                </c:pt>
                <c:pt idx="16">
                  <c:v>5/3/2024</c:v>
                </c:pt>
                <c:pt idx="17">
                  <c:v>5/4/2024</c:v>
                </c:pt>
                <c:pt idx="18">
                  <c:v>5/5/2024</c:v>
                </c:pt>
                <c:pt idx="19">
                  <c:v>8/1/2024</c:v>
                </c:pt>
                <c:pt idx="20">
                  <c:v>10/2/2024</c:v>
                </c:pt>
                <c:pt idx="21">
                  <c:v>12/1/2024</c:v>
                </c:pt>
                <c:pt idx="22">
                  <c:v>12/3/2024</c:v>
                </c:pt>
                <c:pt idx="23">
                  <c:v>12/4/2024</c:v>
                </c:pt>
              </c:strCache>
            </c:strRef>
          </c:cat>
          <c:val>
            <c:numRef>
              <c:f>Sheet3!$B$4:$B$28</c:f>
              <c:numCache>
                <c:formatCode>General</c:formatCode>
                <c:ptCount val="24"/>
                <c:pt idx="0">
                  <c:v>8700</c:v>
                </c:pt>
                <c:pt idx="1">
                  <c:v>5400</c:v>
                </c:pt>
                <c:pt idx="2">
                  <c:v>2250</c:v>
                </c:pt>
                <c:pt idx="3">
                  <c:v>1950</c:v>
                </c:pt>
                <c:pt idx="4">
                  <c:v>1230</c:v>
                </c:pt>
                <c:pt idx="5">
                  <c:v>4800</c:v>
                </c:pt>
                <c:pt idx="6">
                  <c:v>2250</c:v>
                </c:pt>
                <c:pt idx="7">
                  <c:v>4200</c:v>
                </c:pt>
                <c:pt idx="8">
                  <c:v>1125</c:v>
                </c:pt>
                <c:pt idx="9">
                  <c:v>1350</c:v>
                </c:pt>
                <c:pt idx="10">
                  <c:v>2400</c:v>
                </c:pt>
                <c:pt idx="11">
                  <c:v>2100</c:v>
                </c:pt>
                <c:pt idx="12">
                  <c:v>1500</c:v>
                </c:pt>
                <c:pt idx="13">
                  <c:v>9000</c:v>
                </c:pt>
                <c:pt idx="14">
                  <c:v>1800</c:v>
                </c:pt>
                <c:pt idx="15">
                  <c:v>8250</c:v>
                </c:pt>
                <c:pt idx="16">
                  <c:v>4350</c:v>
                </c:pt>
                <c:pt idx="17">
                  <c:v>9000</c:v>
                </c:pt>
                <c:pt idx="18">
                  <c:v>9300</c:v>
                </c:pt>
                <c:pt idx="19">
                  <c:v>4500</c:v>
                </c:pt>
                <c:pt idx="20">
                  <c:v>1200</c:v>
                </c:pt>
                <c:pt idx="21">
                  <c:v>1050</c:v>
                </c:pt>
                <c:pt idx="22">
                  <c:v>9300</c:v>
                </c:pt>
                <c:pt idx="23">
                  <c:v>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7-4B2E-B1F7-0DF6535889E0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Sheet3!$A$4:$A$28</c:f>
              <c:strCache>
                <c:ptCount val="24"/>
                <c:pt idx="0">
                  <c:v>15-02-2024</c:v>
                </c:pt>
                <c:pt idx="1">
                  <c:v>15-05-2024</c:v>
                </c:pt>
                <c:pt idx="2">
                  <c:v>18-01-2024</c:v>
                </c:pt>
                <c:pt idx="3">
                  <c:v>18-03-2024</c:v>
                </c:pt>
                <c:pt idx="4">
                  <c:v>18-04-2024</c:v>
                </c:pt>
                <c:pt idx="5">
                  <c:v>20-02-2024</c:v>
                </c:pt>
                <c:pt idx="6">
                  <c:v>20-05-2024</c:v>
                </c:pt>
                <c:pt idx="7">
                  <c:v>25-01-2024</c:v>
                </c:pt>
                <c:pt idx="8">
                  <c:v>25-02-2024</c:v>
                </c:pt>
                <c:pt idx="9">
                  <c:v>25-03-2024</c:v>
                </c:pt>
                <c:pt idx="10">
                  <c:v>25-04-2024</c:v>
                </c:pt>
                <c:pt idx="11">
                  <c:v>28-02-2024</c:v>
                </c:pt>
                <c:pt idx="12">
                  <c:v>28-05-2024</c:v>
                </c:pt>
                <c:pt idx="13">
                  <c:v>30-01-2024</c:v>
                </c:pt>
                <c:pt idx="14">
                  <c:v>4/2/2024</c:v>
                </c:pt>
                <c:pt idx="15">
                  <c:v>5/1/2024</c:v>
                </c:pt>
                <c:pt idx="16">
                  <c:v>5/3/2024</c:v>
                </c:pt>
                <c:pt idx="17">
                  <c:v>5/4/2024</c:v>
                </c:pt>
                <c:pt idx="18">
                  <c:v>5/5/2024</c:v>
                </c:pt>
                <c:pt idx="19">
                  <c:v>8/1/2024</c:v>
                </c:pt>
                <c:pt idx="20">
                  <c:v>10/2/2024</c:v>
                </c:pt>
                <c:pt idx="21">
                  <c:v>12/1/2024</c:v>
                </c:pt>
                <c:pt idx="22">
                  <c:v>12/3/2024</c:v>
                </c:pt>
                <c:pt idx="23">
                  <c:v>12/4/2024</c:v>
                </c:pt>
              </c:strCache>
            </c:strRef>
          </c:cat>
          <c:val>
            <c:numRef>
              <c:f>Sheet3!$C$4:$C$28</c:f>
              <c:numCache>
                <c:formatCode>General</c:formatCode>
                <c:ptCount val="24"/>
                <c:pt idx="0">
                  <c:v>58000</c:v>
                </c:pt>
                <c:pt idx="1">
                  <c:v>36000</c:v>
                </c:pt>
                <c:pt idx="2">
                  <c:v>15000</c:v>
                </c:pt>
                <c:pt idx="3">
                  <c:v>13000</c:v>
                </c:pt>
                <c:pt idx="4">
                  <c:v>8200</c:v>
                </c:pt>
                <c:pt idx="5">
                  <c:v>32000</c:v>
                </c:pt>
                <c:pt idx="6">
                  <c:v>15000</c:v>
                </c:pt>
                <c:pt idx="7">
                  <c:v>28000</c:v>
                </c:pt>
                <c:pt idx="8">
                  <c:v>7500</c:v>
                </c:pt>
                <c:pt idx="9">
                  <c:v>9000</c:v>
                </c:pt>
                <c:pt idx="10">
                  <c:v>16000</c:v>
                </c:pt>
                <c:pt idx="11">
                  <c:v>14000</c:v>
                </c:pt>
                <c:pt idx="12">
                  <c:v>10000</c:v>
                </c:pt>
                <c:pt idx="13">
                  <c:v>60000</c:v>
                </c:pt>
                <c:pt idx="14">
                  <c:v>12000</c:v>
                </c:pt>
                <c:pt idx="15">
                  <c:v>55000</c:v>
                </c:pt>
                <c:pt idx="16">
                  <c:v>29000</c:v>
                </c:pt>
                <c:pt idx="17">
                  <c:v>60000</c:v>
                </c:pt>
                <c:pt idx="18">
                  <c:v>62000</c:v>
                </c:pt>
                <c:pt idx="19">
                  <c:v>30000</c:v>
                </c:pt>
                <c:pt idx="20">
                  <c:v>8000</c:v>
                </c:pt>
                <c:pt idx="21">
                  <c:v>7000</c:v>
                </c:pt>
                <c:pt idx="22">
                  <c:v>62000</c:v>
                </c:pt>
                <c:pt idx="23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F7-4B2E-B1F7-0DF653588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801800"/>
        <c:axId val="500221448"/>
      </c:barChart>
      <c:catAx>
        <c:axId val="16008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21448"/>
        <c:crosses val="autoZero"/>
        <c:auto val="1"/>
        <c:lblAlgn val="ctr"/>
        <c:lblOffset val="100"/>
        <c:noMultiLvlLbl val="0"/>
      </c:catAx>
      <c:valAx>
        <c:axId val="50022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0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82050</c:v>
                </c:pt>
                <c:pt idx="1">
                  <c:v>20205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C-4D9A-B592-18C8E8694B0A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547000</c:v>
                </c:pt>
                <c:pt idx="1">
                  <c:v>134700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C-4D9A-B592-18C8E8694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10664"/>
        <c:axId val="839112712"/>
      </c:barChart>
      <c:catAx>
        <c:axId val="83911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12712"/>
        <c:crosses val="autoZero"/>
        <c:auto val="1"/>
        <c:lblAlgn val="ctr"/>
        <c:lblOffset val="100"/>
        <c:noMultiLvlLbl val="0"/>
      </c:catAx>
      <c:valAx>
        <c:axId val="83911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1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</a:t>
            </a:r>
          </a:p>
        </c:rich>
      </c:tx>
      <c:layout>
        <c:manualLayout>
          <c:xMode val="edge"/>
          <c:yMode val="edge"/>
          <c:x val="0.31604177128042205"/>
          <c:y val="3.2064406469525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57000</c:v>
                </c:pt>
                <c:pt idx="1">
                  <c:v>108500</c:v>
                </c:pt>
                <c:pt idx="2">
                  <c:v>22000</c:v>
                </c:pt>
                <c:pt idx="3">
                  <c:v>24200</c:v>
                </c:pt>
                <c:pt idx="4">
                  <c:v>212000</c:v>
                </c:pt>
                <c:pt idx="5">
                  <c:v>58000</c:v>
                </c:pt>
                <c:pt idx="6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1-4CB5-874A-B5DA0C4C7B6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1-4CB5-874A-B5DA0C4C7B6D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October</c:v>
                </c:pt>
                <c:pt idx="6">
                  <c:v>December</c:v>
                </c:pt>
              </c:strCache>
            </c:strRef>
          </c:cat>
          <c:val>
            <c:numRef>
              <c:f>Sheet2!$D$4:$D$11</c:f>
              <c:numCache>
                <c:formatCode>General</c:formatCode>
                <c:ptCount val="7"/>
                <c:pt idx="0">
                  <c:v>8550</c:v>
                </c:pt>
                <c:pt idx="1">
                  <c:v>16275</c:v>
                </c:pt>
                <c:pt idx="2">
                  <c:v>3300</c:v>
                </c:pt>
                <c:pt idx="3">
                  <c:v>3630</c:v>
                </c:pt>
                <c:pt idx="4">
                  <c:v>31800</c:v>
                </c:pt>
                <c:pt idx="5">
                  <c:v>8700</c:v>
                </c:pt>
                <c:pt idx="6">
                  <c:v>14550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6-40C8-B360-1708579EA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252232"/>
        <c:axId val="664559112"/>
      </c:barChart>
      <c:catAx>
        <c:axId val="62725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59112"/>
        <c:crosses val="autoZero"/>
        <c:auto val="1"/>
        <c:lblAlgn val="ctr"/>
        <c:lblOffset val="100"/>
        <c:noMultiLvlLbl val="0"/>
      </c:catAx>
      <c:valAx>
        <c:axId val="66455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292000</c:v>
                </c:pt>
                <c:pt idx="1">
                  <c:v>62700</c:v>
                </c:pt>
                <c:pt idx="2">
                  <c:v>72000</c:v>
                </c:pt>
                <c:pt idx="3">
                  <c:v>255000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8-47B2-8C51-C538F473A54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43800</c:v>
                </c:pt>
                <c:pt idx="1">
                  <c:v>9405</c:v>
                </c:pt>
                <c:pt idx="2">
                  <c:v>10800</c:v>
                </c:pt>
                <c:pt idx="3">
                  <c:v>38250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8-47B2-8C51-C538F473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06280"/>
        <c:axId val="1706808328"/>
      </c:barChart>
      <c:catAx>
        <c:axId val="170680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08328"/>
        <c:crosses val="autoZero"/>
        <c:auto val="1"/>
        <c:lblAlgn val="ctr"/>
        <c:lblOffset val="100"/>
        <c:noMultiLvlLbl val="0"/>
      </c:catAx>
      <c:valAx>
        <c:axId val="170680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0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82050</c:v>
                </c:pt>
                <c:pt idx="1">
                  <c:v>20205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B-43FF-8711-890DE7F8A3DF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547000</c:v>
                </c:pt>
                <c:pt idx="1">
                  <c:v>134700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B-43FF-8711-890DE7F8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10664"/>
        <c:axId val="839112712"/>
      </c:barChart>
      <c:catAx>
        <c:axId val="83911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12712"/>
        <c:crosses val="autoZero"/>
        <c:auto val="1"/>
        <c:lblAlgn val="ctr"/>
        <c:lblOffset val="100"/>
        <c:noMultiLvlLbl val="0"/>
      </c:catAx>
      <c:valAx>
        <c:axId val="83911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1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152400</xdr:rowOff>
    </xdr:from>
    <xdr:to>
      <xdr:col>11</xdr:col>
      <xdr:colOff>228600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1DC55-6F56-7811-5F9C-D7FF71155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0</xdr:row>
      <xdr:rowOff>0</xdr:rowOff>
    </xdr:from>
    <xdr:to>
      <xdr:col>13</xdr:col>
      <xdr:colOff>85725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C2BF97-A3F4-7851-AE24-533D5619F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533400</xdr:colOff>
      <xdr:row>18</xdr:row>
      <xdr:rowOff>19050</xdr:rowOff>
    </xdr:from>
    <xdr:to>
      <xdr:col>3</xdr:col>
      <xdr:colOff>352425</xdr:colOff>
      <xdr:row>31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nth">
              <a:extLst>
                <a:ext uri="{FF2B5EF4-FFF2-40B4-BE49-F238E27FC236}">
                  <a16:creationId xmlns:a16="http://schemas.microsoft.com/office/drawing/2014/main" id="{8471F5BA-C1CC-9F80-2732-B7FB7B87A0EE}"/>
                </a:ext>
                <a:ext uri="{147F2762-F138-4A5C-976F-8EAC2B608ADB}">
                  <a16:predDERef xmlns:a16="http://schemas.microsoft.com/office/drawing/2014/main" pred="{63C2BF97-A3F4-7851-AE24-533D5619FD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1975" y="209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819150</xdr:colOff>
      <xdr:row>18</xdr:row>
      <xdr:rowOff>47625</xdr:rowOff>
    </xdr:from>
    <xdr:to>
      <xdr:col>6</xdr:col>
      <xdr:colOff>571500</xdr:colOff>
      <xdr:row>32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1AEAC6AF-AEF1-AE33-8478-A83B403643C7}"/>
                </a:ext>
                <a:ext uri="{147F2762-F138-4A5C-976F-8EAC2B608ADB}">
                  <a16:predDERef xmlns:a16="http://schemas.microsoft.com/office/drawing/2014/main" pred="{8471F5BA-C1CC-9F80-2732-B7FB7B87A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257175</xdr:colOff>
      <xdr:row>18</xdr:row>
      <xdr:rowOff>9525</xdr:rowOff>
    </xdr:from>
    <xdr:to>
      <xdr:col>10</xdr:col>
      <xdr:colOff>257175</xdr:colOff>
      <xdr:row>31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977F49EE-377D-3E61-82BF-763CB4F43E55}"/>
                </a:ext>
                <a:ext uri="{147F2762-F138-4A5C-976F-8EAC2B608ADB}">
                  <a16:predDERef xmlns:a16="http://schemas.microsoft.com/office/drawing/2014/main" pred="{1AEAC6AF-AEF1-AE33-8478-A83B403643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9525</xdr:rowOff>
    </xdr:from>
    <xdr:to>
      <xdr:col>11</xdr:col>
      <xdr:colOff>228600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8E1AD-5964-9581-B9FB-FFBB37469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0</xdr:rowOff>
    </xdr:from>
    <xdr:to>
      <xdr:col>10</xdr:col>
      <xdr:colOff>381000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534CD-ABCB-F4C8-AA35-6946A196F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6</xdr:row>
      <xdr:rowOff>0</xdr:rowOff>
    </xdr:from>
    <xdr:to>
      <xdr:col>6</xdr:col>
      <xdr:colOff>533400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4FCA7-7936-46EA-B070-9C28CDC8F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6</xdr:row>
      <xdr:rowOff>0</xdr:rowOff>
    </xdr:from>
    <xdr:to>
      <xdr:col>14</xdr:col>
      <xdr:colOff>590550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5CDE41-C971-428A-96D6-5E5B4E0FFDA0}"/>
            </a:ext>
            <a:ext uri="{147F2762-F138-4A5C-976F-8EAC2B608ADB}">
              <a16:predDERef xmlns:a16="http://schemas.microsoft.com/office/drawing/2014/main" pred="{CC74FCA7-7936-46EA-B070-9C28CDC8F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514350</xdr:colOff>
      <xdr:row>20</xdr:row>
      <xdr:rowOff>161925</xdr:rowOff>
    </xdr:from>
    <xdr:to>
      <xdr:col>11</xdr:col>
      <xdr:colOff>209550</xdr:colOff>
      <xdr:row>35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57DBA4-1C57-44E8-A544-5C5DDB5A40FC}"/>
            </a:ext>
            <a:ext uri="{147F2762-F138-4A5C-976F-8EAC2B608ADB}">
              <a16:predDERef xmlns:a16="http://schemas.microsoft.com/office/drawing/2014/main" pred="{7E5CDE41-C971-428A-96D6-5E5B4E0FF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190500</xdr:colOff>
      <xdr:row>36</xdr:row>
      <xdr:rowOff>142875</xdr:rowOff>
    </xdr:from>
    <xdr:to>
      <xdr:col>3</xdr:col>
      <xdr:colOff>342900</xdr:colOff>
      <xdr:row>50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nth 1">
              <a:extLst>
                <a:ext uri="{FF2B5EF4-FFF2-40B4-BE49-F238E27FC236}">
                  <a16:creationId xmlns:a16="http://schemas.microsoft.com/office/drawing/2014/main" id="{3BF36EDF-8861-FCF7-CCA0-43255CE12C7F}"/>
                </a:ext>
                <a:ext uri="{147F2762-F138-4A5C-976F-8EAC2B608ADB}">
                  <a16:predDERef xmlns:a16="http://schemas.microsoft.com/office/drawing/2014/main" pred="{B457DBA4-1C57-44E8-A544-5C5DDB5A4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7543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161925</xdr:colOff>
      <xdr:row>36</xdr:row>
      <xdr:rowOff>152400</xdr:rowOff>
    </xdr:from>
    <xdr:to>
      <xdr:col>6</xdr:col>
      <xdr:colOff>304800</xdr:colOff>
      <xdr:row>50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gion 1">
              <a:extLst>
                <a:ext uri="{FF2B5EF4-FFF2-40B4-BE49-F238E27FC236}">
                  <a16:creationId xmlns:a16="http://schemas.microsoft.com/office/drawing/2014/main" id="{2E70B171-5FBF-74FA-1A91-C33F52A08800}"/>
                </a:ext>
                <a:ext uri="{147F2762-F138-4A5C-976F-8EAC2B608ADB}">
                  <a16:predDERef xmlns:a16="http://schemas.microsoft.com/office/drawing/2014/main" pred="{3BF36EDF-8861-FCF7-CCA0-43255CE12C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5225" y="7505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352425</xdr:colOff>
      <xdr:row>36</xdr:row>
      <xdr:rowOff>123825</xdr:rowOff>
    </xdr:from>
    <xdr:to>
      <xdr:col>11</xdr:col>
      <xdr:colOff>352425</xdr:colOff>
      <xdr:row>50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y 1">
              <a:extLst>
                <a:ext uri="{FF2B5EF4-FFF2-40B4-BE49-F238E27FC236}">
                  <a16:creationId xmlns:a16="http://schemas.microsoft.com/office/drawing/2014/main" id="{328FE5E5-685C-428E-577D-B95BADED1ED4}"/>
                </a:ext>
                <a:ext uri="{147F2762-F138-4A5C-976F-8EAC2B608ADB}">
                  <a16:predDERef xmlns:a16="http://schemas.microsoft.com/office/drawing/2014/main" pred="{2E70B171-5FBF-74FA-1A91-C33F52A088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7850" y="7524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113205208334" createdVersion="8" refreshedVersion="8" minRefreshableVersion="3" recordCount="24" xr:uid="{7DE33C9A-43B9-4F70-8131-FF52694685E7}">
  <cacheSource type="worksheet">
    <worksheetSource name="Table1"/>
  </cacheSource>
  <cacheFields count="8">
    <cacheField name="Order_ID" numFmtId="0">
      <sharedItems containsSemiMixedTypes="0" containsString="0" containsNumber="1" containsInteger="1" minValue="1001" maxValue="1024"/>
    </cacheField>
    <cacheField name="Date" numFmtId="164">
      <sharedItems containsDate="1" containsMixedTypes="1" minDate="2024-04-02T00:00:00" maxDate="2024-12-05T00:00:00" count="24">
        <s v="28-05-2024"/>
        <s v="20-05-2024"/>
        <s v="15-05-2024"/>
        <d v="2024-05-05T00:00:00"/>
        <s v="25-04-2024"/>
        <s v="18-04-2024"/>
        <d v="2024-12-04T00:00:00"/>
        <d v="2024-05-04T00:00:00"/>
        <s v="25-03-2024"/>
        <s v="18-03-2024"/>
        <d v="2024-12-03T00:00:00"/>
        <d v="2024-05-03T00:00:00"/>
        <s v="28-02-2024"/>
        <s v="25-02-2024"/>
        <s v="20-02-2024"/>
        <s v="15-02-2024"/>
        <d v="2024-10-02T00:00:00"/>
        <d v="2024-04-02T00:00:00"/>
        <s v="30-01-2024"/>
        <s v="25-01-2024"/>
        <s v="18-01-2024"/>
        <d v="2024-12-01T00:00:00"/>
        <d v="2024-08-01T00:00:00"/>
        <d v="2024-05-01T00:00:00"/>
      </sharedItems>
    </cacheField>
    <cacheField name="Region" numFmtId="0">
      <sharedItems count="4">
        <s v="South"/>
        <s v="North"/>
        <s v="West"/>
        <s v="East"/>
      </sharedItems>
    </cacheField>
    <cacheField name="Sales_Executive" numFmtId="0">
      <sharedItems count="4">
        <s v="Neha"/>
        <s v="Aman"/>
        <s v="Priya"/>
        <s v="Rahul"/>
      </sharedItems>
    </cacheField>
    <cacheField name="Product" numFmtId="0">
      <sharedItems/>
    </cacheField>
    <cacheField name="Category" numFmtId="0">
      <sharedItems count="2">
        <s v="Furniture"/>
        <s v="Electronics"/>
      </sharedItems>
    </cacheField>
    <cacheField name="Sales" numFmtId="0">
      <sharedItems containsSemiMixedTypes="0" containsString="0" containsNumber="1" containsInteger="1" minValue="7000" maxValue="62000"/>
    </cacheField>
    <cacheField name="Profit" numFmtId="0">
      <sharedItems containsSemiMixedTypes="0" containsString="0" containsNumber="1" containsInteger="1" minValue="1050" maxValue="9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117067824074" createdVersion="8" refreshedVersion="8" minRefreshableVersion="3" recordCount="20" xr:uid="{0DEB747C-6A0D-4583-85F8-712271AEDE02}">
  <cacheSource type="worksheet">
    <worksheetSource ref="A1:I21" sheet="Raw Data"/>
  </cacheSource>
  <cacheFields count="9">
    <cacheField name="Order_ID" numFmtId="0">
      <sharedItems containsSemiMixedTypes="0" containsString="0" containsNumber="1" containsInteger="1" minValue="1005" maxValue="1024"/>
    </cacheField>
    <cacheField name="Date" numFmtId="14">
      <sharedItems containsDate="1" containsMixedTypes="1" minDate="2024-05-03T00:00:00" maxDate="2024-12-05T00:00:00"/>
    </cacheField>
    <cacheField name="Month" numFmtId="14">
      <sharedItems count="7">
        <s v="May"/>
        <s v="April"/>
        <s v="December"/>
        <s v="March"/>
        <s v="February"/>
        <s v="January"/>
        <s v="October"/>
      </sharedItems>
    </cacheField>
    <cacheField name="Region" numFmtId="0">
      <sharedItems count="4">
        <s v="South"/>
        <s v="North"/>
        <s v="West"/>
        <s v="East"/>
      </sharedItems>
    </cacheField>
    <cacheField name="Sales_Executive" numFmtId="0">
      <sharedItems/>
    </cacheField>
    <cacheField name="Product" numFmtId="0">
      <sharedItems/>
    </cacheField>
    <cacheField name="Category" numFmtId="0">
      <sharedItems count="2">
        <s v="Furniture"/>
        <s v="Electronics"/>
      </sharedItems>
    </cacheField>
    <cacheField name="Sales" numFmtId="0">
      <sharedItems containsSemiMixedTypes="0" containsString="0" containsNumber="1" containsInteger="1" minValue="7500" maxValue="62000"/>
    </cacheField>
    <cacheField name="Profit" numFmtId="0">
      <sharedItems containsSemiMixedTypes="0" containsString="0" containsNumber="1" containsInteger="1" minValue="1125" maxValue="9300"/>
    </cacheField>
  </cacheFields>
  <extLst>
    <ext xmlns:x14="http://schemas.microsoft.com/office/spreadsheetml/2009/9/main" uri="{725AE2AE-9491-48be-B2B4-4EB974FC3084}">
      <x14:pivotCacheDefinition pivotCacheId="1207123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024"/>
    <x v="0"/>
    <x v="0"/>
    <x v="0"/>
    <s v="Chair"/>
    <x v="0"/>
    <n v="10000"/>
    <n v="1500"/>
  </r>
  <r>
    <n v="1023"/>
    <x v="1"/>
    <x v="1"/>
    <x v="1"/>
    <s v="Table"/>
    <x v="0"/>
    <n v="15000"/>
    <n v="2250"/>
  </r>
  <r>
    <n v="1022"/>
    <x v="2"/>
    <x v="2"/>
    <x v="2"/>
    <s v="Phone"/>
    <x v="1"/>
    <n v="36000"/>
    <n v="5400"/>
  </r>
  <r>
    <n v="1021"/>
    <x v="3"/>
    <x v="3"/>
    <x v="3"/>
    <s v="Laptop"/>
    <x v="1"/>
    <n v="62000"/>
    <n v="9300"/>
  </r>
  <r>
    <n v="1020"/>
    <x v="4"/>
    <x v="0"/>
    <x v="0"/>
    <s v="Table"/>
    <x v="0"/>
    <n v="16000"/>
    <n v="2400"/>
  </r>
  <r>
    <n v="1019"/>
    <x v="5"/>
    <x v="1"/>
    <x v="1"/>
    <s v="Chair"/>
    <x v="0"/>
    <n v="8200"/>
    <n v="1230"/>
  </r>
  <r>
    <n v="1018"/>
    <x v="6"/>
    <x v="2"/>
    <x v="2"/>
    <s v="Phone"/>
    <x v="1"/>
    <n v="35000"/>
    <n v="5250"/>
  </r>
  <r>
    <n v="1017"/>
    <x v="7"/>
    <x v="3"/>
    <x v="3"/>
    <s v="Laptop"/>
    <x v="1"/>
    <n v="60000"/>
    <n v="9000"/>
  </r>
  <r>
    <n v="1016"/>
    <x v="8"/>
    <x v="0"/>
    <x v="0"/>
    <s v="Chair"/>
    <x v="0"/>
    <n v="9000"/>
    <n v="1350"/>
  </r>
  <r>
    <n v="1015"/>
    <x v="9"/>
    <x v="1"/>
    <x v="1"/>
    <s v="Table"/>
    <x v="0"/>
    <n v="13000"/>
    <n v="1950"/>
  </r>
  <r>
    <n v="1014"/>
    <x v="10"/>
    <x v="2"/>
    <x v="2"/>
    <s v="Laptop"/>
    <x v="1"/>
    <n v="62000"/>
    <n v="9300"/>
  </r>
  <r>
    <n v="1013"/>
    <x v="11"/>
    <x v="3"/>
    <x v="3"/>
    <s v="Phone"/>
    <x v="1"/>
    <n v="29000"/>
    <n v="4350"/>
  </r>
  <r>
    <n v="1012"/>
    <x v="12"/>
    <x v="0"/>
    <x v="0"/>
    <s v="Table"/>
    <x v="0"/>
    <n v="14000"/>
    <n v="2100"/>
  </r>
  <r>
    <n v="1011"/>
    <x v="13"/>
    <x v="1"/>
    <x v="1"/>
    <s v="Chair"/>
    <x v="0"/>
    <n v="7500"/>
    <n v="1125"/>
  </r>
  <r>
    <n v="1010"/>
    <x v="14"/>
    <x v="2"/>
    <x v="2"/>
    <s v="Phone"/>
    <x v="1"/>
    <n v="32000"/>
    <n v="4800"/>
  </r>
  <r>
    <n v="1009"/>
    <x v="15"/>
    <x v="3"/>
    <x v="3"/>
    <s v="Laptop"/>
    <x v="1"/>
    <n v="58000"/>
    <n v="8700"/>
  </r>
  <r>
    <n v="1008"/>
    <x v="16"/>
    <x v="0"/>
    <x v="0"/>
    <s v="Chair"/>
    <x v="0"/>
    <n v="8000"/>
    <n v="1200"/>
  </r>
  <r>
    <n v="1007"/>
    <x v="17"/>
    <x v="1"/>
    <x v="1"/>
    <s v="Table"/>
    <x v="0"/>
    <n v="12000"/>
    <n v="1800"/>
  </r>
  <r>
    <n v="1006"/>
    <x v="18"/>
    <x v="2"/>
    <x v="2"/>
    <s v="Laptop"/>
    <x v="1"/>
    <n v="60000"/>
    <n v="9000"/>
  </r>
  <r>
    <n v="1005"/>
    <x v="19"/>
    <x v="3"/>
    <x v="3"/>
    <s v="Phone"/>
    <x v="1"/>
    <n v="28000"/>
    <n v="4200"/>
  </r>
  <r>
    <n v="1004"/>
    <x v="20"/>
    <x v="0"/>
    <x v="0"/>
    <s v="Table"/>
    <x v="0"/>
    <n v="15000"/>
    <n v="2250"/>
  </r>
  <r>
    <n v="1003"/>
    <x v="21"/>
    <x v="1"/>
    <x v="1"/>
    <s v="Chair"/>
    <x v="0"/>
    <n v="7000"/>
    <n v="1050"/>
  </r>
  <r>
    <n v="1002"/>
    <x v="22"/>
    <x v="2"/>
    <x v="2"/>
    <s v="Phone"/>
    <x v="1"/>
    <n v="30000"/>
    <n v="4500"/>
  </r>
  <r>
    <n v="1001"/>
    <x v="23"/>
    <x v="3"/>
    <x v="3"/>
    <s v="Laptop"/>
    <x v="1"/>
    <n v="55000"/>
    <n v="8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24"/>
    <s v="28/05/2024"/>
    <x v="0"/>
    <x v="0"/>
    <s v="Neha"/>
    <s v="Chair"/>
    <x v="0"/>
    <n v="10000"/>
    <n v="1500"/>
  </r>
  <r>
    <n v="1023"/>
    <s v="20/05/2024"/>
    <x v="0"/>
    <x v="1"/>
    <s v="Aman"/>
    <s v="Table"/>
    <x v="0"/>
    <n v="15000"/>
    <n v="2250"/>
  </r>
  <r>
    <n v="1022"/>
    <s v="15/05/2024"/>
    <x v="0"/>
    <x v="2"/>
    <s v="Priya"/>
    <s v="Phone"/>
    <x v="1"/>
    <n v="36000"/>
    <n v="5400"/>
  </r>
  <r>
    <n v="1021"/>
    <d v="2024-05-05T00:00:00"/>
    <x v="0"/>
    <x v="3"/>
    <s v="Rahul"/>
    <s v="Laptop"/>
    <x v="1"/>
    <n v="62000"/>
    <n v="9300"/>
  </r>
  <r>
    <n v="1020"/>
    <s v="25/04/2024"/>
    <x v="1"/>
    <x v="0"/>
    <s v="Neha"/>
    <s v="Table"/>
    <x v="0"/>
    <n v="16000"/>
    <n v="2400"/>
  </r>
  <r>
    <n v="1019"/>
    <s v="18/04/2024"/>
    <x v="1"/>
    <x v="1"/>
    <s v="Aman"/>
    <s v="Chair"/>
    <x v="0"/>
    <n v="8200"/>
    <n v="1230"/>
  </r>
  <r>
    <n v="1018"/>
    <d v="2024-12-04T00:00:00"/>
    <x v="2"/>
    <x v="2"/>
    <s v="Priya"/>
    <s v="Phone"/>
    <x v="1"/>
    <n v="35000"/>
    <n v="5250"/>
  </r>
  <r>
    <n v="1017"/>
    <d v="2024-05-04T00:00:00"/>
    <x v="0"/>
    <x v="3"/>
    <s v="Rahul"/>
    <s v="Laptop"/>
    <x v="1"/>
    <n v="60000"/>
    <n v="9000"/>
  </r>
  <r>
    <n v="1016"/>
    <s v="25/03/2024"/>
    <x v="3"/>
    <x v="0"/>
    <s v="Neha"/>
    <s v="Chair"/>
    <x v="0"/>
    <n v="9000"/>
    <n v="1350"/>
  </r>
  <r>
    <n v="1015"/>
    <s v="18/03/2024"/>
    <x v="3"/>
    <x v="1"/>
    <s v="Aman"/>
    <s v="Table"/>
    <x v="0"/>
    <n v="13000"/>
    <n v="1950"/>
  </r>
  <r>
    <n v="1014"/>
    <d v="2024-12-03T00:00:00"/>
    <x v="2"/>
    <x v="2"/>
    <s v="Priya"/>
    <s v="Laptop"/>
    <x v="1"/>
    <n v="62000"/>
    <n v="9300"/>
  </r>
  <r>
    <n v="1013"/>
    <d v="2024-05-03T00:00:00"/>
    <x v="0"/>
    <x v="3"/>
    <s v="Rahul"/>
    <s v="Phone"/>
    <x v="1"/>
    <n v="29000"/>
    <n v="4350"/>
  </r>
  <r>
    <n v="1012"/>
    <s v="28/02/2024"/>
    <x v="4"/>
    <x v="0"/>
    <s v="Neha"/>
    <s v="Table"/>
    <x v="0"/>
    <n v="14000"/>
    <n v="2100"/>
  </r>
  <r>
    <n v="1011"/>
    <s v="25/02/2024"/>
    <x v="4"/>
    <x v="1"/>
    <s v="Aman"/>
    <s v="Chair"/>
    <x v="0"/>
    <n v="7500"/>
    <n v="1125"/>
  </r>
  <r>
    <n v="1010"/>
    <s v="20/02/2024"/>
    <x v="4"/>
    <x v="2"/>
    <s v="Priya"/>
    <s v="Phone"/>
    <x v="1"/>
    <n v="32000"/>
    <n v="4800"/>
  </r>
  <r>
    <n v="1009"/>
    <s v="15/02/2024"/>
    <x v="4"/>
    <x v="3"/>
    <s v="Rahul"/>
    <s v="Laptop"/>
    <x v="1"/>
    <n v="55000"/>
    <n v="8250"/>
  </r>
  <r>
    <n v="1008"/>
    <s v="30/01/2024"/>
    <x v="5"/>
    <x v="0"/>
    <s v="Neha"/>
    <s v="Chair"/>
    <x v="0"/>
    <n v="11000"/>
    <n v="1650"/>
  </r>
  <r>
    <n v="1007"/>
    <s v="25/01/2024"/>
    <x v="5"/>
    <x v="1"/>
    <s v="Aman"/>
    <s v="Table"/>
    <x v="0"/>
    <n v="12000"/>
    <n v="1800"/>
  </r>
  <r>
    <n v="1006"/>
    <s v="18/01/2024"/>
    <x v="5"/>
    <x v="2"/>
    <s v="Priya"/>
    <s v="Phone"/>
    <x v="1"/>
    <n v="34000"/>
    <n v="5100"/>
  </r>
  <r>
    <n v="1005"/>
    <d v="2024-10-01T00:00:00"/>
    <x v="6"/>
    <x v="3"/>
    <s v="Rahul"/>
    <s v="Laptop"/>
    <x v="1"/>
    <n v="58000"/>
    <n v="8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F36DC-0A7B-4075-8DDD-0952FC9180A5}" name="PivotTable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8"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6E4B3-AF9B-4C5E-9D37-EA7971CD284A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D11" firstHeaderRow="0" firstDataRow="1" firstDataCol="1"/>
  <pivotFields count="9">
    <pivotField dataField="1" compact="0" outline="0" showAll="0"/>
    <pivotField compact="0" outline="0" showAll="0"/>
    <pivotField axis="axisRow" compact="0" outline="0" showAll="0">
      <items count="8">
        <item x="5"/>
        <item x="4"/>
        <item x="3"/>
        <item x="1"/>
        <item x="0"/>
        <item x="6"/>
        <item x="2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Count of Order_ID" fld="0" subtotal="count" baseField="0" baseItem="0"/>
    <dataField name="Sum of Profit" fld="8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F8910-6CA1-4A41-8A81-73127938781D}" name="PivotTable4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8" firstHeaderRow="0" firstDataRow="1" firstDataCol="1"/>
  <pivotFields count="8">
    <pivotField compact="0" outline="0" showAll="0"/>
    <pivotField axis="axisRow" compact="0" outline="0" showAll="0">
      <items count="25">
        <item x="15"/>
        <item x="2"/>
        <item x="20"/>
        <item x="9"/>
        <item x="5"/>
        <item x="14"/>
        <item x="1"/>
        <item x="19"/>
        <item x="13"/>
        <item x="8"/>
        <item x="4"/>
        <item x="12"/>
        <item x="0"/>
        <item x="18"/>
        <item x="17"/>
        <item x="23"/>
        <item x="11"/>
        <item x="7"/>
        <item x="3"/>
        <item x="22"/>
        <item x="16"/>
        <item x="21"/>
        <item x="1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D717B-1195-412C-A0D7-57E5BC9C0055}" name="PivotTable6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" firstHeaderRow="0" firstDataRow="1" firstDataCol="1"/>
  <pivotFields count="8"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Sales" fld="6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32A6D-A37A-4D35-95BF-CC4C894D0FDB}" name="PivotTable7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8"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3"/>
  </rowFields>
  <rowItems count="5">
    <i>
      <x v="3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Sales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5CD0-5EBC-4E08-9804-D4F6E01293C2}" name="PivotTable3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D155:F163" firstHeaderRow="0" firstDataRow="1" firstDataCol="1"/>
  <pivotFields count="9">
    <pivotField compact="0" outline="0" showAll="0"/>
    <pivotField compact="0" outline="0" showAll="0"/>
    <pivotField axis="axisRow" compact="0" outline="0" showAll="0">
      <items count="8">
        <item x="5"/>
        <item x="4"/>
        <item x="3"/>
        <item x="1"/>
        <item x="0"/>
        <item x="6"/>
        <item x="2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1D3D4DD9-8764-4CCA-8F5A-7CAC570C4258}" sourceName="Month">
  <pivotTables>
    <pivotTable tabId="4" name="PivotTable1"/>
    <pivotTable tabId="10" name="PivotTable3"/>
  </pivotTables>
  <data>
    <tabular pivotCacheId="1207123539">
      <items count="7">
        <i x="5" s="1"/>
        <i x="4" s="1"/>
        <i x="3" s="1"/>
        <i x="1" s="1"/>
        <i x="0" s="1"/>
        <i x="6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B230D02-DF44-4940-9C48-C06A05576CCD}" sourceName="Region">
  <pivotTables>
    <pivotTable tabId="4" name="PivotTable1"/>
    <pivotTable tabId="10" name="PivotTable3"/>
  </pivotTables>
  <data>
    <tabular pivotCacheId="1207123539">
      <items count="4">
        <i x="3" s="1"/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1EF1DC52-A488-4F3B-99E9-E770A01DD014}" sourceName="Category">
  <pivotTables>
    <pivotTable tabId="4" name="PivotTable1"/>
    <pivotTable tabId="10" name="PivotTable3"/>
  </pivotTables>
  <data>
    <tabular pivotCacheId="120712353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5E32D4B8-222C-4FF7-AC0E-4A8C35ACD621}" cache="Slicer_Month" caption="Month" rowHeight="228600"/>
  <slicer name="Region" xr10:uid="{3E7F7620-873D-434C-BB60-C906DBF7B1DB}" cache="Slicer_Region" caption="Region" rowHeight="228600"/>
  <slicer name="Category" xr10:uid="{260142D6-ECA4-4528-8376-35362E26FB63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A4CD259B-A246-49EB-801B-405DF254A277}" cache="Slicer_Month" caption="Month" rowHeight="228600"/>
  <slicer name="Region 1" xr10:uid="{48B87C39-F880-4138-8E48-F36F7D5D7DE8}" cache="Slicer_Region" caption="Region" rowHeight="228600"/>
  <slicer name="Category 1" xr10:uid="{842E510A-D8C8-4033-946C-8C1A04C364DD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1A9D-3935-41F0-A388-7C0C8D750A1B}">
  <dimension ref="A1:I22"/>
  <sheetViews>
    <sheetView topLeftCell="C7" workbookViewId="0">
      <selection activeCell="C7" sqref="C7"/>
    </sheetView>
  </sheetViews>
  <sheetFormatPr defaultRowHeight="15"/>
  <cols>
    <col min="2" max="2" width="11.42578125" bestFit="1" customWidth="1"/>
    <col min="3" max="3" width="9.28515625" bestFit="1" customWidth="1"/>
    <col min="5" max="5" width="15.140625" bestFit="1" customWidth="1"/>
    <col min="6" max="6" width="8" bestFit="1" customWidth="1"/>
    <col min="7" max="7" width="10.5703125" bestFit="1" customWidth="1"/>
    <col min="8" max="8" width="7.7109375" bestFit="1" customWidth="1"/>
    <col min="9" max="9" width="6" bestFit="1" customWidth="1"/>
  </cols>
  <sheetData>
    <row r="1" spans="1:9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1024</v>
      </c>
      <c r="B2" s="1" t="s">
        <v>9</v>
      </c>
      <c r="C2" s="1" t="str">
        <f>TEXT(IF(ISNUMBER(B2),B2,DATE(MID(B2,7,4),MID(B2,4,2),LEFT(B2,2))),"mmmm")</f>
        <v>May</v>
      </c>
      <c r="D2" t="s">
        <v>10</v>
      </c>
      <c r="E2" t="s">
        <v>11</v>
      </c>
      <c r="F2" t="s">
        <v>12</v>
      </c>
      <c r="G2" t="s">
        <v>13</v>
      </c>
      <c r="H2">
        <v>10000</v>
      </c>
      <c r="I2">
        <v>1500</v>
      </c>
    </row>
    <row r="3" spans="1:9">
      <c r="A3">
        <v>1023</v>
      </c>
      <c r="B3" s="1" t="s">
        <v>14</v>
      </c>
      <c r="C3" s="1" t="str">
        <f t="shared" ref="C3:C21" si="0">TEXT(IF(ISNUMBER(B3),B3,DATE(MID(B3,7,4),MID(B3,4,2),LEFT(B3,2))),"mmmm")</f>
        <v>May</v>
      </c>
      <c r="D3" t="s">
        <v>15</v>
      </c>
      <c r="E3" t="s">
        <v>16</v>
      </c>
      <c r="F3" t="s">
        <v>17</v>
      </c>
      <c r="G3" t="s">
        <v>13</v>
      </c>
      <c r="H3">
        <v>15000</v>
      </c>
      <c r="I3">
        <v>2250</v>
      </c>
    </row>
    <row r="4" spans="1:9">
      <c r="A4">
        <v>1022</v>
      </c>
      <c r="B4" s="1" t="s">
        <v>18</v>
      </c>
      <c r="C4" s="1" t="str">
        <f t="shared" si="0"/>
        <v>May</v>
      </c>
      <c r="D4" t="s">
        <v>19</v>
      </c>
      <c r="E4" t="s">
        <v>20</v>
      </c>
      <c r="F4" t="s">
        <v>21</v>
      </c>
      <c r="G4" t="s">
        <v>22</v>
      </c>
      <c r="H4">
        <v>36000</v>
      </c>
      <c r="I4">
        <v>5400</v>
      </c>
    </row>
    <row r="5" spans="1:9">
      <c r="A5">
        <v>1021</v>
      </c>
      <c r="B5" s="1">
        <v>45417</v>
      </c>
      <c r="C5" s="1" t="str">
        <f t="shared" si="0"/>
        <v>May</v>
      </c>
      <c r="D5" t="s">
        <v>23</v>
      </c>
      <c r="E5" t="s">
        <v>24</v>
      </c>
      <c r="F5" t="s">
        <v>25</v>
      </c>
      <c r="G5" t="s">
        <v>22</v>
      </c>
      <c r="H5">
        <v>62000</v>
      </c>
      <c r="I5">
        <v>9300</v>
      </c>
    </row>
    <row r="6" spans="1:9">
      <c r="A6">
        <v>1020</v>
      </c>
      <c r="B6" s="1" t="s">
        <v>26</v>
      </c>
      <c r="C6" s="1" t="str">
        <f t="shared" si="0"/>
        <v>April</v>
      </c>
      <c r="D6" t="s">
        <v>10</v>
      </c>
      <c r="E6" t="s">
        <v>11</v>
      </c>
      <c r="F6" t="s">
        <v>17</v>
      </c>
      <c r="G6" t="s">
        <v>13</v>
      </c>
      <c r="H6">
        <v>16000</v>
      </c>
      <c r="I6">
        <v>2400</v>
      </c>
    </row>
    <row r="7" spans="1:9">
      <c r="A7">
        <v>1019</v>
      </c>
      <c r="B7" s="1" t="s">
        <v>27</v>
      </c>
      <c r="C7" s="1" t="str">
        <f t="shared" si="0"/>
        <v>April</v>
      </c>
      <c r="D7" t="s">
        <v>15</v>
      </c>
      <c r="E7" t="s">
        <v>16</v>
      </c>
      <c r="F7" t="s">
        <v>12</v>
      </c>
      <c r="G7" t="s">
        <v>13</v>
      </c>
      <c r="H7">
        <v>8200</v>
      </c>
      <c r="I7">
        <v>1230</v>
      </c>
    </row>
    <row r="8" spans="1:9">
      <c r="A8">
        <v>1018</v>
      </c>
      <c r="B8" s="1">
        <v>45630</v>
      </c>
      <c r="C8" s="1" t="str">
        <f t="shared" si="0"/>
        <v>December</v>
      </c>
      <c r="D8" t="s">
        <v>19</v>
      </c>
      <c r="E8" t="s">
        <v>20</v>
      </c>
      <c r="F8" t="s">
        <v>21</v>
      </c>
      <c r="G8" t="s">
        <v>22</v>
      </c>
      <c r="H8">
        <v>35000</v>
      </c>
      <c r="I8">
        <v>5250</v>
      </c>
    </row>
    <row r="9" spans="1:9">
      <c r="A9">
        <v>1017</v>
      </c>
      <c r="B9" s="1">
        <v>45416</v>
      </c>
      <c r="C9" s="1" t="str">
        <f t="shared" si="0"/>
        <v>May</v>
      </c>
      <c r="D9" t="s">
        <v>23</v>
      </c>
      <c r="E9" t="s">
        <v>24</v>
      </c>
      <c r="F9" t="s">
        <v>25</v>
      </c>
      <c r="G9" t="s">
        <v>22</v>
      </c>
      <c r="H9">
        <v>60000</v>
      </c>
      <c r="I9">
        <v>9000</v>
      </c>
    </row>
    <row r="10" spans="1:9">
      <c r="A10">
        <v>1016</v>
      </c>
      <c r="B10" s="1" t="s">
        <v>28</v>
      </c>
      <c r="C10" s="1" t="str">
        <f t="shared" si="0"/>
        <v>March</v>
      </c>
      <c r="D10" t="s">
        <v>10</v>
      </c>
      <c r="E10" t="s">
        <v>11</v>
      </c>
      <c r="F10" t="s">
        <v>12</v>
      </c>
      <c r="G10" t="s">
        <v>13</v>
      </c>
      <c r="H10">
        <v>9000</v>
      </c>
      <c r="I10">
        <v>1350</v>
      </c>
    </row>
    <row r="11" spans="1:9">
      <c r="A11">
        <v>1015</v>
      </c>
      <c r="B11" s="1" t="s">
        <v>29</v>
      </c>
      <c r="C11" s="1" t="str">
        <f t="shared" si="0"/>
        <v>March</v>
      </c>
      <c r="D11" t="s">
        <v>15</v>
      </c>
      <c r="E11" t="s">
        <v>16</v>
      </c>
      <c r="F11" t="s">
        <v>17</v>
      </c>
      <c r="G11" t="s">
        <v>13</v>
      </c>
      <c r="H11">
        <v>13000</v>
      </c>
      <c r="I11">
        <v>1950</v>
      </c>
    </row>
    <row r="12" spans="1:9">
      <c r="A12">
        <v>1014</v>
      </c>
      <c r="B12" s="1">
        <v>45629</v>
      </c>
      <c r="C12" s="1" t="str">
        <f t="shared" si="0"/>
        <v>December</v>
      </c>
      <c r="D12" t="s">
        <v>19</v>
      </c>
      <c r="E12" t="s">
        <v>20</v>
      </c>
      <c r="F12" t="s">
        <v>25</v>
      </c>
      <c r="G12" t="s">
        <v>22</v>
      </c>
      <c r="H12">
        <v>62000</v>
      </c>
      <c r="I12">
        <v>9300</v>
      </c>
    </row>
    <row r="13" spans="1:9">
      <c r="A13">
        <v>1013</v>
      </c>
      <c r="B13" s="1">
        <v>45415</v>
      </c>
      <c r="C13" s="1" t="str">
        <f t="shared" si="0"/>
        <v>May</v>
      </c>
      <c r="D13" t="s">
        <v>23</v>
      </c>
      <c r="E13" t="s">
        <v>24</v>
      </c>
      <c r="F13" t="s">
        <v>21</v>
      </c>
      <c r="G13" t="s">
        <v>22</v>
      </c>
      <c r="H13">
        <v>29000</v>
      </c>
      <c r="I13">
        <v>4350</v>
      </c>
    </row>
    <row r="14" spans="1:9">
      <c r="A14">
        <v>1012</v>
      </c>
      <c r="B14" s="1" t="s">
        <v>30</v>
      </c>
      <c r="C14" s="1" t="str">
        <f t="shared" si="0"/>
        <v>February</v>
      </c>
      <c r="D14" t="s">
        <v>10</v>
      </c>
      <c r="E14" t="s">
        <v>11</v>
      </c>
      <c r="F14" t="s">
        <v>17</v>
      </c>
      <c r="G14" t="s">
        <v>13</v>
      </c>
      <c r="H14">
        <v>14000</v>
      </c>
      <c r="I14">
        <v>2100</v>
      </c>
    </row>
    <row r="15" spans="1:9">
      <c r="A15">
        <v>1011</v>
      </c>
      <c r="B15" s="1" t="s">
        <v>31</v>
      </c>
      <c r="C15" s="1" t="str">
        <f t="shared" si="0"/>
        <v>February</v>
      </c>
      <c r="D15" t="s">
        <v>15</v>
      </c>
      <c r="E15" t="s">
        <v>16</v>
      </c>
      <c r="F15" t="s">
        <v>12</v>
      </c>
      <c r="G15" t="s">
        <v>13</v>
      </c>
      <c r="H15">
        <v>7500</v>
      </c>
      <c r="I15">
        <v>1125</v>
      </c>
    </row>
    <row r="16" spans="1:9">
      <c r="A16">
        <v>1010</v>
      </c>
      <c r="B16" s="1" t="s">
        <v>32</v>
      </c>
      <c r="C16" s="1" t="str">
        <f t="shared" si="0"/>
        <v>February</v>
      </c>
      <c r="D16" t="s">
        <v>19</v>
      </c>
      <c r="E16" t="s">
        <v>20</v>
      </c>
      <c r="F16" t="s">
        <v>21</v>
      </c>
      <c r="G16" t="s">
        <v>22</v>
      </c>
      <c r="H16">
        <v>32000</v>
      </c>
      <c r="I16">
        <v>4800</v>
      </c>
    </row>
    <row r="17" spans="1:9">
      <c r="A17">
        <v>1009</v>
      </c>
      <c r="B17" s="1" t="s">
        <v>33</v>
      </c>
      <c r="C17" s="1" t="str">
        <f t="shared" si="0"/>
        <v>February</v>
      </c>
      <c r="D17" t="s">
        <v>23</v>
      </c>
      <c r="E17" t="s">
        <v>24</v>
      </c>
      <c r="F17" t="s">
        <v>25</v>
      </c>
      <c r="G17" t="s">
        <v>22</v>
      </c>
      <c r="H17">
        <v>55000</v>
      </c>
      <c r="I17">
        <v>8250</v>
      </c>
    </row>
    <row r="18" spans="1:9">
      <c r="A18">
        <v>1008</v>
      </c>
      <c r="B18" s="1" t="s">
        <v>34</v>
      </c>
      <c r="C18" s="1" t="str">
        <f t="shared" si="0"/>
        <v>January</v>
      </c>
      <c r="D18" t="s">
        <v>10</v>
      </c>
      <c r="E18" t="s">
        <v>11</v>
      </c>
      <c r="F18" t="s">
        <v>12</v>
      </c>
      <c r="G18" t="s">
        <v>13</v>
      </c>
      <c r="H18">
        <v>11000</v>
      </c>
      <c r="I18">
        <v>1650</v>
      </c>
    </row>
    <row r="19" spans="1:9">
      <c r="A19">
        <v>1007</v>
      </c>
      <c r="B19" s="1" t="s">
        <v>35</v>
      </c>
      <c r="C19" s="1" t="str">
        <f t="shared" si="0"/>
        <v>January</v>
      </c>
      <c r="D19" t="s">
        <v>15</v>
      </c>
      <c r="E19" t="s">
        <v>16</v>
      </c>
      <c r="F19" t="s">
        <v>17</v>
      </c>
      <c r="G19" t="s">
        <v>13</v>
      </c>
      <c r="H19">
        <v>12000</v>
      </c>
      <c r="I19">
        <v>1800</v>
      </c>
    </row>
    <row r="20" spans="1:9">
      <c r="A20">
        <v>1006</v>
      </c>
      <c r="B20" s="1" t="s">
        <v>36</v>
      </c>
      <c r="C20" s="1" t="str">
        <f t="shared" si="0"/>
        <v>January</v>
      </c>
      <c r="D20" t="s">
        <v>19</v>
      </c>
      <c r="E20" t="s">
        <v>20</v>
      </c>
      <c r="F20" t="s">
        <v>21</v>
      </c>
      <c r="G20" t="s">
        <v>22</v>
      </c>
      <c r="H20">
        <v>34000</v>
      </c>
      <c r="I20">
        <v>5100</v>
      </c>
    </row>
    <row r="21" spans="1:9">
      <c r="A21">
        <v>1005</v>
      </c>
      <c r="B21" s="1">
        <v>45566</v>
      </c>
      <c r="C21" s="1" t="str">
        <f t="shared" si="0"/>
        <v>October</v>
      </c>
      <c r="D21" t="s">
        <v>23</v>
      </c>
      <c r="E21" t="s">
        <v>24</v>
      </c>
      <c r="F21" t="s">
        <v>25</v>
      </c>
      <c r="G21" t="s">
        <v>22</v>
      </c>
      <c r="H21">
        <v>58000</v>
      </c>
      <c r="I21">
        <v>8700</v>
      </c>
    </row>
    <row r="22" spans="1:9">
      <c r="H22">
        <f>SUM(H2:H21)</f>
        <v>578700</v>
      </c>
      <c r="I22">
        <f>SUM(I2:I21)</f>
        <v>86805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16A3-3580-497C-95D1-2FFEAB004427}">
  <dimension ref="A3:C8"/>
  <sheetViews>
    <sheetView workbookViewId="0">
      <selection activeCell="C15" sqref="C15"/>
    </sheetView>
  </sheetViews>
  <sheetFormatPr defaultRowHeight="15"/>
  <cols>
    <col min="1" max="1" width="11.7109375" bestFit="1" customWidth="1"/>
    <col min="2" max="2" width="12.42578125" bestFit="1" customWidth="1"/>
    <col min="3" max="3" width="12.85546875" bestFit="1" customWidth="1"/>
  </cols>
  <sheetData>
    <row r="3" spans="1:3">
      <c r="A3" s="2" t="s">
        <v>3</v>
      </c>
      <c r="B3" t="s">
        <v>37</v>
      </c>
      <c r="C3" t="s">
        <v>38</v>
      </c>
    </row>
    <row r="4" spans="1:3">
      <c r="A4" t="s">
        <v>23</v>
      </c>
      <c r="B4">
        <v>292000</v>
      </c>
      <c r="C4">
        <v>43800</v>
      </c>
    </row>
    <row r="5" spans="1:3">
      <c r="A5" t="s">
        <v>15</v>
      </c>
      <c r="B5">
        <v>62700</v>
      </c>
      <c r="C5">
        <v>9405</v>
      </c>
    </row>
    <row r="6" spans="1:3">
      <c r="A6" t="s">
        <v>10</v>
      </c>
      <c r="B6">
        <v>72000</v>
      </c>
      <c r="C6">
        <v>10800</v>
      </c>
    </row>
    <row r="7" spans="1:3">
      <c r="A7" t="s">
        <v>19</v>
      </c>
      <c r="B7">
        <v>255000</v>
      </c>
      <c r="C7">
        <v>38250</v>
      </c>
    </row>
    <row r="8" spans="1:3">
      <c r="A8" t="s">
        <v>39</v>
      </c>
      <c r="B8">
        <v>681700</v>
      </c>
      <c r="C8">
        <v>102255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8BE2-BCE3-48ED-B29C-D78A8B90535E}">
  <dimension ref="A3:D11"/>
  <sheetViews>
    <sheetView workbookViewId="0">
      <selection activeCell="A3" sqref="A3:D11"/>
    </sheetView>
  </sheetViews>
  <sheetFormatPr defaultRowHeight="15"/>
  <cols>
    <col min="1" max="1" width="11.7109375" bestFit="1" customWidth="1"/>
    <col min="2" max="2" width="12.42578125" bestFit="1" customWidth="1"/>
    <col min="3" max="3" width="17.7109375" bestFit="1" customWidth="1"/>
    <col min="4" max="4" width="12.85546875" bestFit="1" customWidth="1"/>
  </cols>
  <sheetData>
    <row r="3" spans="1:4">
      <c r="A3" s="2" t="s">
        <v>2</v>
      </c>
      <c r="B3" t="s">
        <v>37</v>
      </c>
      <c r="C3" t="s">
        <v>40</v>
      </c>
      <c r="D3" t="s">
        <v>38</v>
      </c>
    </row>
    <row r="4" spans="1:4">
      <c r="A4" t="s">
        <v>41</v>
      </c>
      <c r="B4" s="11">
        <v>57000</v>
      </c>
      <c r="C4" s="11">
        <v>3</v>
      </c>
      <c r="D4" s="11">
        <v>8550</v>
      </c>
    </row>
    <row r="5" spans="1:4">
      <c r="A5" t="s">
        <v>42</v>
      </c>
      <c r="B5" s="11">
        <v>108500</v>
      </c>
      <c r="C5" s="11">
        <v>4</v>
      </c>
      <c r="D5" s="11">
        <v>16275</v>
      </c>
    </row>
    <row r="6" spans="1:4">
      <c r="A6" t="s">
        <v>43</v>
      </c>
      <c r="B6" s="11">
        <v>22000</v>
      </c>
      <c r="C6" s="11">
        <v>2</v>
      </c>
      <c r="D6" s="11">
        <v>3300</v>
      </c>
    </row>
    <row r="7" spans="1:4">
      <c r="A7" t="s">
        <v>44</v>
      </c>
      <c r="B7" s="11">
        <v>24200</v>
      </c>
      <c r="C7" s="11">
        <v>2</v>
      </c>
      <c r="D7" s="11">
        <v>3630</v>
      </c>
    </row>
    <row r="8" spans="1:4">
      <c r="A8" t="s">
        <v>45</v>
      </c>
      <c r="B8" s="11">
        <v>212000</v>
      </c>
      <c r="C8" s="11">
        <v>6</v>
      </c>
      <c r="D8" s="11">
        <v>31800</v>
      </c>
    </row>
    <row r="9" spans="1:4">
      <c r="A9" t="s">
        <v>46</v>
      </c>
      <c r="B9" s="11">
        <v>58000</v>
      </c>
      <c r="C9" s="11">
        <v>1</v>
      </c>
      <c r="D9" s="11">
        <v>8700</v>
      </c>
    </row>
    <row r="10" spans="1:4">
      <c r="A10" t="s">
        <v>47</v>
      </c>
      <c r="B10" s="11">
        <v>97000</v>
      </c>
      <c r="C10" s="11">
        <v>2</v>
      </c>
      <c r="D10" s="11">
        <v>14550</v>
      </c>
    </row>
    <row r="11" spans="1:4">
      <c r="A11" t="s">
        <v>39</v>
      </c>
      <c r="B11" s="11">
        <v>578700</v>
      </c>
      <c r="C11" s="11">
        <v>20</v>
      </c>
      <c r="D11" s="11">
        <v>86805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D62B-760E-4E05-AD3C-29B61B6FEEE6}">
  <dimension ref="A3:C28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2.85546875" bestFit="1" customWidth="1"/>
    <col min="3" max="3" width="12.42578125" bestFit="1" customWidth="1"/>
  </cols>
  <sheetData>
    <row r="3" spans="1:3">
      <c r="A3" s="2" t="s">
        <v>1</v>
      </c>
      <c r="B3" t="s">
        <v>38</v>
      </c>
      <c r="C3" t="s">
        <v>37</v>
      </c>
    </row>
    <row r="4" spans="1:3">
      <c r="A4" t="s">
        <v>48</v>
      </c>
      <c r="B4">
        <v>8700</v>
      </c>
      <c r="C4">
        <v>58000</v>
      </c>
    </row>
    <row r="5" spans="1:3">
      <c r="A5" t="s">
        <v>49</v>
      </c>
      <c r="B5">
        <v>5400</v>
      </c>
      <c r="C5">
        <v>36000</v>
      </c>
    </row>
    <row r="6" spans="1:3">
      <c r="A6" t="s">
        <v>50</v>
      </c>
      <c r="B6">
        <v>2250</v>
      </c>
      <c r="C6">
        <v>15000</v>
      </c>
    </row>
    <row r="7" spans="1:3">
      <c r="A7" t="s">
        <v>51</v>
      </c>
      <c r="B7">
        <v>1950</v>
      </c>
      <c r="C7">
        <v>13000</v>
      </c>
    </row>
    <row r="8" spans="1:3">
      <c r="A8" t="s">
        <v>52</v>
      </c>
      <c r="B8">
        <v>1230</v>
      </c>
      <c r="C8">
        <v>8200</v>
      </c>
    </row>
    <row r="9" spans="1:3">
      <c r="A9" t="s">
        <v>53</v>
      </c>
      <c r="B9">
        <v>4800</v>
      </c>
      <c r="C9">
        <v>32000</v>
      </c>
    </row>
    <row r="10" spans="1:3">
      <c r="A10" t="s">
        <v>54</v>
      </c>
      <c r="B10">
        <v>2250</v>
      </c>
      <c r="C10">
        <v>15000</v>
      </c>
    </row>
    <row r="11" spans="1:3">
      <c r="A11" t="s">
        <v>55</v>
      </c>
      <c r="B11">
        <v>4200</v>
      </c>
      <c r="C11">
        <v>28000</v>
      </c>
    </row>
    <row r="12" spans="1:3">
      <c r="A12" t="s">
        <v>56</v>
      </c>
      <c r="B12">
        <v>1125</v>
      </c>
      <c r="C12">
        <v>7500</v>
      </c>
    </row>
    <row r="13" spans="1:3">
      <c r="A13" t="s">
        <v>57</v>
      </c>
      <c r="B13">
        <v>1350</v>
      </c>
      <c r="C13">
        <v>9000</v>
      </c>
    </row>
    <row r="14" spans="1:3">
      <c r="A14" t="s">
        <v>58</v>
      </c>
      <c r="B14">
        <v>2400</v>
      </c>
      <c r="C14">
        <v>16000</v>
      </c>
    </row>
    <row r="15" spans="1:3">
      <c r="A15" t="s">
        <v>59</v>
      </c>
      <c r="B15">
        <v>2100</v>
      </c>
      <c r="C15">
        <v>14000</v>
      </c>
    </row>
    <row r="16" spans="1:3">
      <c r="A16" t="s">
        <v>60</v>
      </c>
      <c r="B16">
        <v>1500</v>
      </c>
      <c r="C16">
        <v>10000</v>
      </c>
    </row>
    <row r="17" spans="1:3">
      <c r="A17" t="s">
        <v>61</v>
      </c>
      <c r="B17">
        <v>9000</v>
      </c>
      <c r="C17">
        <v>60000</v>
      </c>
    </row>
    <row r="18" spans="1:3">
      <c r="A18" s="1">
        <v>45384</v>
      </c>
      <c r="B18">
        <v>1800</v>
      </c>
      <c r="C18">
        <v>12000</v>
      </c>
    </row>
    <row r="19" spans="1:3">
      <c r="A19" s="1">
        <v>45413</v>
      </c>
      <c r="B19">
        <v>8250</v>
      </c>
      <c r="C19">
        <v>55000</v>
      </c>
    </row>
    <row r="20" spans="1:3">
      <c r="A20" s="1">
        <v>45415</v>
      </c>
      <c r="B20">
        <v>4350</v>
      </c>
      <c r="C20">
        <v>29000</v>
      </c>
    </row>
    <row r="21" spans="1:3">
      <c r="A21" s="1">
        <v>45416</v>
      </c>
      <c r="B21">
        <v>9000</v>
      </c>
      <c r="C21">
        <v>60000</v>
      </c>
    </row>
    <row r="22" spans="1:3">
      <c r="A22" s="1">
        <v>45417</v>
      </c>
      <c r="B22">
        <v>9300</v>
      </c>
      <c r="C22">
        <v>62000</v>
      </c>
    </row>
    <row r="23" spans="1:3">
      <c r="A23" s="1">
        <v>45505</v>
      </c>
      <c r="B23">
        <v>4500</v>
      </c>
      <c r="C23">
        <v>30000</v>
      </c>
    </row>
    <row r="24" spans="1:3">
      <c r="A24" s="1">
        <v>45567</v>
      </c>
      <c r="B24">
        <v>1200</v>
      </c>
      <c r="C24">
        <v>8000</v>
      </c>
    </row>
    <row r="25" spans="1:3">
      <c r="A25" s="1">
        <v>45627</v>
      </c>
      <c r="B25">
        <v>1050</v>
      </c>
      <c r="C25">
        <v>7000</v>
      </c>
    </row>
    <row r="26" spans="1:3">
      <c r="A26" s="1">
        <v>45629</v>
      </c>
      <c r="B26">
        <v>9300</v>
      </c>
      <c r="C26">
        <v>62000</v>
      </c>
    </row>
    <row r="27" spans="1:3">
      <c r="A27" s="1">
        <v>45630</v>
      </c>
      <c r="B27">
        <v>5250</v>
      </c>
      <c r="C27">
        <v>35000</v>
      </c>
    </row>
    <row r="28" spans="1:3">
      <c r="A28" t="s">
        <v>39</v>
      </c>
      <c r="B28">
        <v>102255</v>
      </c>
      <c r="C28">
        <v>681700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E6CD-E2BB-4908-9847-EC646DC655CF}">
  <dimension ref="A3:C6"/>
  <sheetViews>
    <sheetView workbookViewId="0">
      <selection activeCell="A3" sqref="A3:C6"/>
    </sheetView>
  </sheetViews>
  <sheetFormatPr defaultRowHeight="15"/>
  <cols>
    <col min="1" max="1" width="12.28515625" bestFit="1" customWidth="1"/>
    <col min="2" max="2" width="12.85546875" bestFit="1" customWidth="1"/>
    <col min="3" max="3" width="12.42578125" bestFit="1" customWidth="1"/>
  </cols>
  <sheetData>
    <row r="3" spans="1:3">
      <c r="A3" s="2" t="s">
        <v>6</v>
      </c>
      <c r="B3" t="s">
        <v>38</v>
      </c>
      <c r="C3" t="s">
        <v>37</v>
      </c>
    </row>
    <row r="4" spans="1:3">
      <c r="A4" t="s">
        <v>22</v>
      </c>
      <c r="B4">
        <v>82050</v>
      </c>
      <c r="C4">
        <v>547000</v>
      </c>
    </row>
    <row r="5" spans="1:3">
      <c r="A5" t="s">
        <v>13</v>
      </c>
      <c r="B5">
        <v>20205</v>
      </c>
      <c r="C5">
        <v>134700</v>
      </c>
    </row>
    <row r="6" spans="1:3">
      <c r="A6" t="s">
        <v>39</v>
      </c>
      <c r="B6">
        <v>102255</v>
      </c>
      <c r="C6">
        <v>681700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B031-950F-4303-A943-0975F8231C2B}">
  <dimension ref="A3:C8"/>
  <sheetViews>
    <sheetView tabSelected="1" workbookViewId="0">
      <selection activeCell="B4" sqref="B4"/>
    </sheetView>
  </sheetViews>
  <sheetFormatPr defaultRowHeight="15"/>
  <cols>
    <col min="1" max="1" width="18.5703125" bestFit="1" customWidth="1"/>
    <col min="2" max="2" width="12.85546875" bestFit="1" customWidth="1"/>
    <col min="3" max="3" width="12.42578125" bestFit="1" customWidth="1"/>
  </cols>
  <sheetData>
    <row r="3" spans="1:3">
      <c r="A3" s="2" t="s">
        <v>4</v>
      </c>
      <c r="B3" t="s">
        <v>38</v>
      </c>
      <c r="C3" t="s">
        <v>37</v>
      </c>
    </row>
    <row r="4" spans="1:3">
      <c r="A4" t="s">
        <v>24</v>
      </c>
      <c r="B4">
        <v>43800</v>
      </c>
      <c r="C4">
        <v>292000</v>
      </c>
    </row>
    <row r="5" spans="1:3">
      <c r="A5" t="s">
        <v>20</v>
      </c>
      <c r="B5">
        <v>38250</v>
      </c>
      <c r="C5">
        <v>255000</v>
      </c>
    </row>
    <row r="6" spans="1:3">
      <c r="A6" t="s">
        <v>11</v>
      </c>
      <c r="B6">
        <v>10800</v>
      </c>
      <c r="C6">
        <v>72000</v>
      </c>
    </row>
    <row r="7" spans="1:3">
      <c r="A7" t="s">
        <v>16</v>
      </c>
      <c r="B7">
        <v>9405</v>
      </c>
      <c r="C7">
        <v>62700</v>
      </c>
    </row>
    <row r="8" spans="1:3">
      <c r="A8" t="s">
        <v>39</v>
      </c>
      <c r="B8">
        <v>102255</v>
      </c>
      <c r="C8">
        <v>681700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6FD9-83C5-4028-9C53-E77733AA27CD}">
  <dimension ref="A1:H163"/>
  <sheetViews>
    <sheetView showGridLines="0" topLeftCell="A25" workbookViewId="0">
      <selection activeCell="M45" sqref="M45"/>
    </sheetView>
  </sheetViews>
  <sheetFormatPr defaultRowHeight="15"/>
  <cols>
    <col min="1" max="1" width="12" bestFit="1" customWidth="1"/>
    <col min="2" max="2" width="12.28515625" customWidth="1"/>
    <col min="3" max="3" width="12.85546875" bestFit="1" customWidth="1"/>
    <col min="4" max="4" width="11.7109375" bestFit="1" customWidth="1"/>
    <col min="5" max="5" width="12.42578125" bestFit="1" customWidth="1"/>
    <col min="6" max="6" width="12.85546875" bestFit="1" customWidth="1"/>
  </cols>
  <sheetData>
    <row r="1" spans="1:8" ht="18.75">
      <c r="A1" s="10" t="s">
        <v>62</v>
      </c>
      <c r="B1" s="10"/>
      <c r="C1" s="10"/>
      <c r="D1" s="10"/>
      <c r="E1" s="10"/>
      <c r="F1" s="10"/>
      <c r="G1" s="10"/>
      <c r="H1" s="10"/>
    </row>
    <row r="3" spans="1:8">
      <c r="A3" s="4" t="s">
        <v>63</v>
      </c>
      <c r="B3" s="5">
        <f>GETPIVOTDATA("Sum of Sales",Sheet2!$A$3)</f>
        <v>578700</v>
      </c>
    </row>
    <row r="4" spans="1:8">
      <c r="A4" s="6" t="s">
        <v>64</v>
      </c>
      <c r="B4" s="7">
        <f>GETPIVOTDATA("Sum of Profit",Sheet2!A3)</f>
        <v>86805</v>
      </c>
    </row>
    <row r="5" spans="1:8">
      <c r="A5" s="8" t="s">
        <v>65</v>
      </c>
      <c r="B5" s="9">
        <f>GETPIVOTDATA("Count of Order_ID",Sheet2!A3)</f>
        <v>20</v>
      </c>
      <c r="E5" s="3"/>
      <c r="F5" s="3"/>
    </row>
    <row r="155" spans="4:6">
      <c r="D155" s="2" t="s">
        <v>2</v>
      </c>
      <c r="E155" t="s">
        <v>37</v>
      </c>
      <c r="F155" t="s">
        <v>38</v>
      </c>
    </row>
    <row r="156" spans="4:6">
      <c r="D156" t="s">
        <v>41</v>
      </c>
      <c r="E156" s="11">
        <v>57000</v>
      </c>
      <c r="F156" s="11">
        <v>8550</v>
      </c>
    </row>
    <row r="157" spans="4:6">
      <c r="D157" t="s">
        <v>42</v>
      </c>
      <c r="E157" s="11">
        <v>108500</v>
      </c>
      <c r="F157" s="11">
        <v>16275</v>
      </c>
    </row>
    <row r="158" spans="4:6">
      <c r="D158" t="s">
        <v>43</v>
      </c>
      <c r="E158" s="11">
        <v>22000</v>
      </c>
      <c r="F158" s="11">
        <v>3300</v>
      </c>
    </row>
    <row r="159" spans="4:6">
      <c r="D159" t="s">
        <v>44</v>
      </c>
      <c r="E159" s="11">
        <v>24200</v>
      </c>
      <c r="F159" s="11">
        <v>3630</v>
      </c>
    </row>
    <row r="160" spans="4:6">
      <c r="D160" t="s">
        <v>45</v>
      </c>
      <c r="E160" s="11">
        <v>212000</v>
      </c>
      <c r="F160" s="11">
        <v>31800</v>
      </c>
    </row>
    <row r="161" spans="4:6">
      <c r="D161" t="s">
        <v>46</v>
      </c>
      <c r="E161" s="11">
        <v>58000</v>
      </c>
      <c r="F161" s="11">
        <v>8700</v>
      </c>
    </row>
    <row r="162" spans="4:6">
      <c r="D162" t="s">
        <v>47</v>
      </c>
      <c r="E162" s="11">
        <v>97000</v>
      </c>
      <c r="F162" s="11">
        <v>14550</v>
      </c>
    </row>
    <row r="163" spans="4:6">
      <c r="D163" t="s">
        <v>39</v>
      </c>
      <c r="E163" s="11">
        <v>578700</v>
      </c>
      <c r="F163" s="11">
        <v>86805</v>
      </c>
    </row>
  </sheetData>
  <mergeCells count="1">
    <mergeCell ref="A1:H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2026-02-15T16:53:11Z</dcterms:created>
  <dcterms:modified xsi:type="dcterms:W3CDTF">2026-02-21T15:10:27Z</dcterms:modified>
  <cp:category/>
  <cp:contentStatus/>
</cp:coreProperties>
</file>